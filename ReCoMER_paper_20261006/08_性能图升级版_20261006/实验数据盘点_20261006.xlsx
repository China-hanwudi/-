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章节映射" sheetId="2" state="visible" r:id="rId2"/>
    <sheet xmlns:r="http://schemas.openxmlformats.org/officeDocument/2006/relationships" name="四级分类总表" sheetId="3" state="visible" r:id="rId3"/>
    <sheet xmlns:r="http://schemas.openxmlformats.org/officeDocument/2006/relationships" name="必补计划" sheetId="4" state="visible" r:id="rId4"/>
    <sheet xmlns:r="http://schemas.openxmlformats.org/officeDocument/2006/relationships" name="四数据集矩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8">
    <font>
      <name val="Calibri"/>
      <family val="2"/>
      <color theme="1"/>
      <sz val="11"/>
      <scheme val="minor"/>
    </font>
    <font>
      <name val="Microsoft YaHei"/>
      <b val="1"/>
      <color rgb="002B2B28"/>
      <sz val="18"/>
    </font>
    <font>
      <name val="Microsoft YaHei"/>
      <color rgb="006E6E68"/>
      <sz val="9"/>
    </font>
    <font>
      <name val="Microsoft YaHei"/>
      <b val="1"/>
      <color rgb="006E6E68"/>
      <sz val="10"/>
    </font>
    <font>
      <name val="Microsoft YaHei"/>
      <b val="1"/>
      <color rgb="002B2B28"/>
      <sz val="22"/>
    </font>
    <font>
      <name val="Microsoft YaHei"/>
      <b val="1"/>
      <color rgb="001B7837"/>
      <sz val="22"/>
    </font>
    <font>
      <name val="Microsoft YaHei"/>
      <b val="1"/>
      <color rgb="00B23A2F"/>
      <sz val="22"/>
    </font>
    <font>
      <name val="Microsoft YaHei"/>
      <b val="1"/>
      <color rgb="009A6A0A"/>
      <sz val="22"/>
    </font>
    <font>
      <name val="Microsoft YaHei"/>
      <b val="1"/>
      <color rgb="00B23A2F"/>
      <sz val="11"/>
    </font>
    <font>
      <name val="Microsoft YaHei"/>
      <b val="1"/>
      <color rgb="002B2B28"/>
      <sz val="10"/>
    </font>
    <font>
      <name val="Microsoft YaHei"/>
      <b val="1"/>
      <color rgb="002B2B28"/>
      <sz val="9.5"/>
    </font>
    <font>
      <name val="Microsoft YaHei"/>
      <color rgb="002B2B28"/>
      <sz val="9.5"/>
    </font>
    <font>
      <name val="Microsoft YaHei"/>
      <b val="1"/>
      <color rgb="002B2B28"/>
      <sz val="14"/>
    </font>
    <font>
      <name val="Microsoft YaHei"/>
      <b val="1"/>
      <color rgb="00FFFFFF"/>
      <sz val="10"/>
    </font>
    <font>
      <name val="Microsoft YaHei"/>
      <b val="1"/>
      <color rgb="001B7837"/>
      <sz val="9.5"/>
    </font>
    <font>
      <name val="Microsoft YaHei"/>
      <b val="1"/>
      <color rgb="009A6A0A"/>
      <sz val="9.5"/>
    </font>
    <font>
      <name val="Microsoft YaHei"/>
      <b val="1"/>
      <color rgb="00B23A2F"/>
      <sz val="9.5"/>
    </font>
    <font>
      <name val="Microsoft YaHei"/>
      <b val="1"/>
      <color rgb="006E6E68"/>
      <sz val="9.5"/>
    </font>
  </fonts>
  <fills count="7">
    <fill>
      <patternFill/>
    </fill>
    <fill>
      <patternFill patternType="gray125"/>
    </fill>
    <fill>
      <patternFill patternType="solid">
        <fgColor rgb="003A3A36"/>
      </patternFill>
    </fill>
    <fill>
      <patternFill patternType="solid">
        <fgColor rgb="00E8F3EA"/>
      </patternFill>
    </fill>
    <fill>
      <patternFill patternType="solid">
        <fgColor rgb="00FBF3E2"/>
      </patternFill>
    </fill>
    <fill>
      <patternFill patternType="solid">
        <fgColor rgb="00F9ECEA"/>
      </patternFill>
    </fill>
    <fill>
      <patternFill patternType="solid">
        <fgColor rgb="00F2F2EF"/>
      </patternFill>
    </fill>
  </fills>
  <borders count="2">
    <border>
      <left/>
      <right/>
      <top/>
      <bottom/>
      <diagonal/>
    </border>
    <border>
      <left style="thin">
        <color rgb="00D8D8D2"/>
      </left>
      <right style="thin">
        <color rgb="00D8D8D2"/>
      </right>
      <top style="thin">
        <color rgb="00D8D8D2"/>
      </top>
      <bottom style="thin">
        <color rgb="00D8D8D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center" vertical="top" wrapText="1"/>
    </xf>
    <xf numFmtId="0" fontId="17" fillId="6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164" fontId="11" fillId="0" borderId="1" applyAlignment="1" pivotButton="0" quotePrefix="0" xfId="0">
      <alignment horizontal="center" vertical="top" wrapText="1"/>
    </xf>
    <xf numFmtId="164" fontId="14" fillId="0" borderId="1" applyAlignment="1" pivotButton="0" quotePrefix="0" xfId="0">
      <alignment horizontal="center"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30" customWidth="1" min="4" max="4"/>
    <col width="30" customWidth="1" min="5" max="5"/>
  </cols>
  <sheetData>
    <row r="2">
      <c r="B2" s="1" t="inlineStr">
        <is>
          <t>ReCoMER 实验部分数据盘点</t>
        </is>
      </c>
    </row>
    <row r="3">
      <c r="B3" s="2" t="inlineStr">
        <is>
          <t>来源：论文工作区 2026-10-06 全量核查（交接文档 02 + GPU 服务器 paper_experiments_20261004 实查）</t>
        </is>
      </c>
    </row>
    <row r="4">
      <c r="B4" s="2" t="inlineStr">
        <is>
          <t>口径：valid-only，test_read=False 逐 run 断言；四级分类见「四级分类总表」</t>
        </is>
      </c>
    </row>
    <row r="6">
      <c r="B6" s="3" t="inlineStr">
        <is>
          <t>实验数据项</t>
        </is>
      </c>
      <c r="C6" s="3" t="inlineStr">
        <is>
          <t>已具备</t>
        </is>
      </c>
      <c r="D6" s="3" t="inlineStr">
        <is>
          <t>必须补</t>
        </is>
      </c>
      <c r="E6" s="3" t="inlineStr">
        <is>
          <t>可砍+放弃</t>
        </is>
      </c>
    </row>
    <row r="7">
      <c r="B7" s="4">
        <f>COUNTA(四级分类总表!B3:B26)</f>
        <v/>
      </c>
      <c r="C7" s="5">
        <f>COUNTIF(四级分类总表!A3:A26,"已具备")</f>
        <v/>
      </c>
      <c r="D7" s="6">
        <f>COUNTIF(四级分类总表!A3:A26,"必补")</f>
        <v/>
      </c>
      <c r="E7" s="7">
        <f>COUNTIF(四级分类总表!A3:A26,"可砍")+COUNTIF(四级分类总表!A3:A26,"放弃")</f>
        <v/>
      </c>
    </row>
    <row r="10" ht="30" customHeight="1">
      <c r="B10" s="8" t="inlineStr">
        <is>
          <t>一句话结论：今天之后实验数据只剩一个真缺口——同协议外部 SOTA 对比表（+ 一段“完整系统 vs 最强专家”归因文字）。</t>
        </is>
      </c>
    </row>
    <row r="12">
      <c r="B12" s="9" t="inlineStr">
        <is>
          <t>工作表索引</t>
        </is>
      </c>
    </row>
    <row r="13">
      <c r="B13" s="10" t="inlineStr">
        <is>
          <t>章节映射</t>
        </is>
      </c>
      <c r="C13" s="11" t="inlineStr">
        <is>
          <t>实验部分需要哪些数据、按 4.1–4.6 章节的逐项状态</t>
        </is>
      </c>
    </row>
    <row r="14">
      <c r="B14" s="10" t="inlineStr">
        <is>
          <t>四级分类总表</t>
        </is>
      </c>
      <c r="C14" s="11" t="inlineStr">
        <is>
          <t>24 项数据的分类、理由与处置建议（本工作簿的数据主表）</t>
        </is>
      </c>
    </row>
    <row r="15">
      <c r="B15" s="10" t="inlineStr">
        <is>
          <t>必补计划</t>
        </is>
      </c>
      <c r="C15" s="11" t="inlineStr">
        <is>
          <t>仅剩的两项必补工作及执行方案</t>
        </is>
      </c>
    </row>
    <row r="16">
      <c r="B16" s="10" t="inlineStr">
        <is>
          <t>四数据集矩阵</t>
        </is>
      </c>
      <c r="C16" s="11" t="inlineStr">
        <is>
          <t>item 3 补齐后的完整矩阵（四数据集 × 5 臂 × 10 seeds）</t>
        </is>
      </c>
    </row>
  </sheetData>
  <mergeCells count="1"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22" customWidth="1" min="4" max="4"/>
    <col width="40" customWidth="1" min="5" max="5"/>
  </cols>
  <sheetData>
    <row r="1">
      <c r="A1" s="12" t="inlineStr">
        <is>
          <t>实验部分数据需求 × 现状（按论文章节）</t>
        </is>
      </c>
    </row>
    <row r="2">
      <c r="A2" s="2" t="inlineStr">
        <is>
          <t>状态口径：✅ 已具备 ｜ ⚠️ 已有但规格受限（可用）｜ ❌ 缺失</t>
        </is>
      </c>
    </row>
    <row r="3" ht="22" customHeight="1">
      <c r="A3" s="13" t="inlineStr">
        <is>
          <t>论文章节</t>
        </is>
      </c>
      <c r="B3" s="13" t="inlineStr">
        <is>
          <t>需要的数据</t>
        </is>
      </c>
      <c r="C3" s="13" t="inlineStr">
        <is>
          <t>状态</t>
        </is>
      </c>
      <c r="D3" s="13" t="inlineStr">
        <is>
          <t>载体（图表/表）</t>
        </is>
      </c>
      <c r="E3" s="13" t="inlineStr">
        <is>
          <t>备注</t>
        </is>
      </c>
    </row>
    <row r="4" ht="26" customHeight="1">
      <c r="A4" s="10" t="inlineStr">
        <is>
          <t>4.1 Setup</t>
        </is>
      </c>
      <c r="B4" s="11" t="inlineStr">
        <is>
          <t>数据集引用、协议说明、seed 列表</t>
        </is>
      </c>
      <c r="C4" s="14" t="inlineStr">
        <is>
          <t>✅</t>
        </is>
      </c>
      <c r="D4" s="11" t="inlineStr">
        <is>
          <t>正文</t>
        </is>
      </c>
      <c r="E4" s="11" t="inlineStr">
        <is>
          <t>MELD/M3ED/IEMOCAP/MOSEI 引用已挂</t>
        </is>
      </c>
    </row>
    <row r="5" ht="26" customHeight="1">
      <c r="A5" s="10" t="inlineStr">
        <is>
          <t>4.2 主对比</t>
        </is>
      </c>
      <c r="B5" s="11" t="inlineStr">
        <is>
          <t>正式 M3ED 测试六分支 + 配对 bootstrap</t>
        </is>
      </c>
      <c r="C5" s="14" t="inlineStr">
        <is>
          <t>✅</t>
        </is>
      </c>
      <c r="D5" s="11" t="inlineStr">
        <is>
          <t>Table 1 + 图 A</t>
        </is>
      </c>
      <c r="E5" s="11" t="inlineStr">
        <is>
          <t>图 A 增加 Acc/NLL/ECE/Brier 多指标</t>
        </is>
      </c>
    </row>
    <row r="6" ht="26" customHeight="1">
      <c r="A6" s="10" t="inlineStr">
        <is>
          <t>4.2 主对比</t>
        </is>
      </c>
      <c r="B6" s="11" t="inlineStr">
        <is>
          <t>逐类 F1 + 逐类配对 bootstrap CI</t>
        </is>
      </c>
      <c r="C6" s="14" t="inlineStr">
        <is>
          <t>✅</t>
        </is>
      </c>
      <c r="D6" s="11" t="inlineStr">
        <is>
          <t>图 E（今日）</t>
        </is>
      </c>
      <c r="E6" s="11" t="inlineStr">
        <is>
          <t>对 cRBEF：+Happy/Fear、−Sad；对等权：+Sad（显著）</t>
        </is>
      </c>
    </row>
    <row r="7" ht="26" customHeight="1">
      <c r="A7" s="10" t="inlineStr">
        <is>
          <t>4.3 组件隔离</t>
        </is>
      </c>
      <c r="B7" s="11" t="inlineStr">
        <is>
          <t>历史反馈十 seed（3 数据集）</t>
        </is>
      </c>
      <c r="C7" s="14" t="inlineStr">
        <is>
          <t>✅</t>
        </is>
      </c>
      <c r="D7" s="11" t="inlineStr">
        <is>
          <t>Table 2</t>
        </is>
      </c>
      <c r="E7" s="11" t="inlineStr">
        <is>
          <t>条件性正效应，措辞已对齐</t>
        </is>
      </c>
    </row>
    <row r="8" ht="26" customHeight="1">
      <c r="A8" s="10" t="inlineStr">
        <is>
          <t>4.3 组件隔离</t>
        </is>
      </c>
      <c r="B8" s="11" t="inlineStr">
        <is>
          <t>EvidenceRouter 十 seed + Holm 校正</t>
        </is>
      </c>
      <c r="C8" s="14" t="inlineStr">
        <is>
          <t>✅</t>
        </is>
      </c>
      <c r="D8" s="11" t="inlineStr">
        <is>
          <t>Table 3 + 图 B（今日）</t>
        </is>
      </c>
      <c r="E8" s="11" t="inlineStr">
        <is>
          <t>MOSEI 显著；MELD/M3ED 边缘诚实标注</t>
        </is>
      </c>
    </row>
    <row r="9" ht="26" customHeight="1">
      <c r="A9" s="10" t="inlineStr">
        <is>
          <t>4.3 组件隔离</t>
        </is>
      </c>
      <c r="B9" s="11" t="inlineStr">
        <is>
          <t>弃权变体完整矩阵</t>
        </is>
      </c>
      <c r="C9" s="15" t="inlineStr">
        <is>
          <t>⚠️</t>
        </is>
      </c>
      <c r="D9" s="11" t="inlineStr">
        <is>
          <t>Table 4</t>
        </is>
      </c>
      <c r="E9" s="11" t="inlineStr">
        <is>
          <t>3-seed 修正协议已冻结；扩 10 seed 不值得强求</t>
        </is>
      </c>
    </row>
    <row r="10" ht="26" customHeight="1">
      <c r="A10" s="10" t="inlineStr">
        <is>
          <t>4.4 整合消融</t>
        </is>
      </c>
      <c r="B10" s="11" t="inlineStr">
        <is>
          <t>六个整合控制 + 对话 bootstrap</t>
        </is>
      </c>
      <c r="C10" s="14" t="inlineStr">
        <is>
          <t>✅</t>
        </is>
      </c>
      <c r="D10" s="11" t="inlineStr">
        <is>
          <t>Table 5</t>
        </is>
      </c>
      <c r="E10" s="11" t="inlineStr">
        <is>
          <t>弃权项 −0.487 显著，其余 CI 跨 0</t>
        </is>
      </c>
    </row>
    <row r="11" ht="26" customHeight="1">
      <c r="A11" s="10" t="inlineStr">
        <is>
          <t>4.4 审计</t>
        </is>
      </c>
      <c r="B11" s="11" t="inlineStr">
        <is>
          <t>信息流 / 目标梯度 / 身份审计</t>
        </is>
      </c>
      <c r="C11" s="14" t="inlineStr">
        <is>
          <t>✅</t>
        </is>
      </c>
      <c r="D11" s="11" t="inlineStr">
        <is>
          <t>正文 + 附录</t>
        </is>
      </c>
      <c r="E11" s="11" t="inlineStr">
        <is>
          <t>splice 审计通过；单模态头无梯度已声明</t>
        </is>
      </c>
    </row>
    <row r="12" ht="26" customHeight="1">
      <c r="A12" s="10" t="inlineStr">
        <is>
          <t>4.5 exact-feature</t>
        </is>
      </c>
      <c r="B12" s="11" t="inlineStr">
        <is>
          <t>M3ED 十 seed 五臂对照</t>
        </is>
      </c>
      <c r="C12" s="14" t="inlineStr">
        <is>
          <t>✅</t>
        </is>
      </c>
      <c r="D12" s="11" t="inlineStr">
        <is>
          <t>Table 6 + 图 9</t>
        </is>
      </c>
      <c r="E12" s="11" t="inlineStr">
        <is>
          <t>与正式结果严格分离表述</t>
        </is>
      </c>
    </row>
    <row r="13" ht="26" customHeight="1">
      <c r="A13" s="10" t="inlineStr">
        <is>
          <t>4.5 exact-feature</t>
        </is>
      </c>
      <c r="B13" s="11" t="inlineStr">
        <is>
          <t>四数据集 B0 矩阵（item 3）</t>
        </is>
      </c>
      <c r="C13" s="14" t="inlineStr">
        <is>
          <t>✅</t>
        </is>
      </c>
      <c r="D13" s="11" t="inlineStr">
        <is>
          <t>四数据集矩阵表（今日）</t>
        </is>
      </c>
      <c r="E13" s="11" t="inlineStr">
        <is>
          <t>80 补种子 runs 零失败；evidence_solo 10/10 显著</t>
        </is>
      </c>
    </row>
    <row r="14" ht="26" customHeight="1">
      <c r="A14" s="10" t="inlineStr">
        <is>
          <t>4.6 失败边界</t>
        </is>
      </c>
      <c r="B14" s="11" t="inlineStr">
        <is>
          <t>延续/转折子群分析（item 5）</t>
        </is>
      </c>
      <c r="C14" s="14" t="inlineStr">
        <is>
          <t>✅</t>
        </is>
      </c>
      <c r="D14" s="11" t="inlineStr">
        <is>
          <t>图 F（今日）</t>
        </is>
      </c>
      <c r="E14" s="11" t="inlineStr">
        <is>
          <t>延续句 9/9 为正；转折句仅 M3ED 一致为负</t>
        </is>
      </c>
    </row>
    <row r="15" ht="26" customHeight="1">
      <c r="A15" s="10" t="inlineStr">
        <is>
          <t>4.6/全文</t>
        </is>
      </c>
      <c r="B15" s="11" t="inlineStr">
        <is>
          <t>同协议外部 SOTA 对比表</t>
        </is>
      </c>
      <c r="C15" s="16" t="inlineStr">
        <is>
          <t>❌</t>
        </is>
      </c>
      <c r="D15" s="11" t="inlineStr">
        <is>
          <t>缺</t>
        </is>
      </c>
      <c r="E15" s="11" t="inlineStr">
        <is>
          <t>唯一顶刊门槛级缺口；方案见「必补计划」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6" customWidth="1" min="3" max="3"/>
    <col width="34" customWidth="1" min="4" max="4"/>
  </cols>
  <sheetData>
    <row r="1">
      <c r="A1" s="12" t="inlineStr">
        <is>
          <t>24 项实验数据：四级分类总表</t>
        </is>
      </c>
    </row>
    <row r="2">
      <c r="A2" s="2" t="inlineStr">
        <is>
          <t>分类口径：已具备=进论文；可砍=已做但不必放；必补=投稿前必须完成；放弃=不值得强求</t>
        </is>
      </c>
    </row>
    <row r="3" ht="22" customHeight="1">
      <c r="A3" s="13" t="inlineStr">
        <is>
          <t>分类</t>
        </is>
      </c>
      <c r="B3" s="13" t="inlineStr">
        <is>
          <t>项目</t>
        </is>
      </c>
      <c r="C3" s="13" t="inlineStr">
        <is>
          <t>状态说明 / 理由</t>
        </is>
      </c>
      <c r="D3" s="13" t="inlineStr">
        <is>
          <t>处置建议</t>
        </is>
      </c>
    </row>
    <row r="4" ht="30" customHeight="1">
      <c r="A4" s="14" t="inlineStr">
        <is>
          <t>已具备</t>
        </is>
      </c>
      <c r="B4" s="10" t="inlineStr">
        <is>
          <t>正式 M3ED 测试六分支 + 配对 bootstrap</t>
        </is>
      </c>
      <c r="C4" s="11" t="inlineStr">
        <is>
          <t>58.00±0.34；vs 等权 +0.607 [0.250,1.005] 显著</t>
        </is>
      </c>
      <c r="D4" s="11" t="inlineStr">
        <is>
          <t>Table 1 + 正文</t>
        </is>
      </c>
    </row>
    <row r="5" ht="30" customHeight="1">
      <c r="A5" s="14" t="inlineStr">
        <is>
          <t>已具备</t>
        </is>
      </c>
      <c r="B5" s="10" t="inlineStr">
        <is>
          <t>多指标面板（WF1/Acc/NLL/ECE/Brier）</t>
        </is>
      </c>
      <c r="C5" s="11" t="inlineStr">
        <is>
          <t>校准与 NLL 领先所有融合规则</t>
        </is>
      </c>
      <c r="D5" s="11" t="inlineStr">
        <is>
          <t>图 A（今日）</t>
        </is>
      </c>
    </row>
    <row r="6" ht="30" customHeight="1">
      <c r="A6" s="14" t="inlineStr">
        <is>
          <t>已具备</t>
        </is>
      </c>
      <c r="B6" s="10" t="inlineStr">
        <is>
          <t>逐类 F1 + 逐类配对 bootstrap CI</t>
        </is>
      </c>
      <c r="C6" s="11" t="inlineStr">
        <is>
          <t>融合重分配类间误差：+Happy/Fear、−Sad（vs cRBEF）；+Sad（vs 等权）</t>
        </is>
      </c>
      <c r="D6" s="11" t="inlineStr">
        <is>
          <t>图 E（今日）</t>
        </is>
      </c>
    </row>
    <row r="7" ht="30" customHeight="1">
      <c r="A7" s="14" t="inlineStr">
        <is>
          <t>已具备</t>
        </is>
      </c>
      <c r="B7" s="10" t="inlineStr">
        <is>
          <t>历史反馈十 seed 隔离研究</t>
        </is>
      </c>
      <c r="C7" s="11" t="inlineStr">
        <is>
          <t>MOSEI 最稳；M3ED 7/10；MELD CI 跨 0</t>
        </is>
      </c>
      <c r="D7" s="11" t="inlineStr">
        <is>
          <t>Table 2，条件性措辞</t>
        </is>
      </c>
    </row>
    <row r="8" ht="30" customHeight="1">
      <c r="A8" s="14" t="inlineStr">
        <is>
          <t>已具备</t>
        </is>
      </c>
      <c r="B8" s="10" t="inlineStr">
        <is>
          <t>EvidenceRouter 十 seed + Holm 校正</t>
        </is>
      </c>
      <c r="C8" s="11" t="inlineStr">
        <is>
          <t>MOSEI 对全部对照显著 10/10；MELD/M3ED 边缘</t>
        </is>
      </c>
      <c r="D8" s="11" t="inlineStr">
        <is>
          <t>Table 3 + 图 B（今日）</t>
        </is>
      </c>
    </row>
    <row r="9" ht="30" customHeight="1">
      <c r="A9" s="14" t="inlineStr">
        <is>
          <t>已具备</t>
        </is>
      </c>
      <c r="B9" s="10" t="inlineStr">
        <is>
          <t>弃权变体 3-seed 修正协议（B1/E5/E6/E7）</t>
        </is>
      </c>
      <c r="C9" s="11" t="inlineStr">
        <is>
          <t>E5 稳定优于 B1；E6≈E5；E7 无优势</t>
        </is>
      </c>
      <c r="D9" s="11" t="inlineStr">
        <is>
          <t>Table 4</t>
        </is>
      </c>
    </row>
    <row r="10" ht="30" customHeight="1">
      <c r="A10" s="14" t="inlineStr">
        <is>
          <t>已具备</t>
        </is>
      </c>
      <c r="B10" s="10" t="inlineStr">
        <is>
          <t>六个整合控制消融</t>
        </is>
      </c>
      <c r="C10" s="11" t="inlineStr">
        <is>
          <t>去弃权 −0.487 显著；其余 CI 跨 0</t>
        </is>
      </c>
      <c r="D10" s="11" t="inlineStr">
        <is>
          <t>Table 5</t>
        </is>
      </c>
    </row>
    <row r="11" ht="30" customHeight="1">
      <c r="A11" s="14" t="inlineStr">
        <is>
          <t>已具备</t>
        </is>
      </c>
      <c r="B11" s="10" t="inlineStr">
        <is>
          <t>信息流 / 目标梯度 / 身份审计</t>
        </is>
      </c>
      <c r="C11" s="11" t="inlineStr">
        <is>
          <t>splice 通过；梯度分离确认</t>
        </is>
      </c>
      <c r="D11" s="11" t="inlineStr">
        <is>
          <t>正文 + 附录</t>
        </is>
      </c>
    </row>
    <row r="12" ht="30" customHeight="1">
      <c r="A12" s="14" t="inlineStr">
        <is>
          <t>已具备</t>
        </is>
      </c>
      <c r="B12" s="10" t="inlineStr">
        <is>
          <t>M3ED exact-feature 十 seed 五臂</t>
        </is>
      </c>
      <c r="C12" s="11" t="inlineStr">
        <is>
          <t>排除特征协议混淆</t>
        </is>
      </c>
      <c r="D12" s="11" t="inlineStr">
        <is>
          <t>Table 6 + 图 9</t>
        </is>
      </c>
    </row>
    <row r="13" ht="30" customHeight="1">
      <c r="A13" s="14" t="inlineStr">
        <is>
          <t>已具备</t>
        </is>
      </c>
      <c r="B13" s="10" t="inlineStr">
        <is>
          <t>四数据集 × 5 臂 × 10 seed 矩阵（item 3）</t>
        </is>
      </c>
      <c r="C13" s="11" t="inlineStr">
        <is>
          <t>今日补齐 80 runs 零失败；evidence_solo 唯一一致显著臂</t>
        </is>
      </c>
      <c r="D13" s="11" t="inlineStr">
        <is>
          <t>四数据集矩阵表（今日）</t>
        </is>
      </c>
    </row>
    <row r="14" ht="30" customHeight="1">
      <c r="A14" s="14" t="inlineStr">
        <is>
          <t>已具备</t>
        </is>
      </c>
      <c r="B14" s="10" t="inlineStr">
        <is>
          <t>延续/转折子群分析（item 5）</t>
        </is>
      </c>
      <c r="C14" s="11" t="inlineStr">
        <is>
          <t>延续句 9/9 为正；转折句仅 M3ED 3/3 为负</t>
        </is>
      </c>
      <c r="D14" s="11" t="inlineStr">
        <is>
          <t>图 F（今日）+ 4.6 节支撑</t>
        </is>
      </c>
    </row>
    <row r="15" ht="30" customHeight="1">
      <c r="A15" s="14" t="inlineStr">
        <is>
          <t>已具备</t>
        </is>
      </c>
      <c r="B15" s="10" t="inlineStr">
        <is>
          <t>MOSEI 全指标剖面</t>
        </is>
      </c>
      <c r="C15" s="11" t="inlineStr">
        <is>
          <t>历史反馈六项指标全向有利但幅度小</t>
        </is>
      </c>
      <c r="D15" s="11" t="inlineStr">
        <is>
          <t>图 C / 附录</t>
        </is>
      </c>
    </row>
    <row r="16" ht="30" customHeight="1">
      <c r="A16" s="14" t="inlineStr">
        <is>
          <t>已具备</t>
        </is>
      </c>
      <c r="B16" s="10" t="inlineStr">
        <is>
          <t>融合行为证据（η 与模态权重）</t>
        </is>
      </c>
      <c r="C16" s="11" t="inlineStr">
        <is>
          <t>η=0 回退 1/3 种子；权重贴近均匀先验</t>
        </is>
      </c>
      <c r="D16" s="11" t="inlineStr">
        <is>
          <t>图 D（今日）</t>
        </is>
      </c>
    </row>
    <row r="17" ht="30" customHeight="1">
      <c r="A17" s="14" t="inlineStr">
        <is>
          <t>已具备</t>
        </is>
      </c>
      <c r="B17" s="10" t="inlineStr">
        <is>
          <t>校准指标（ECE15 / Brier）</t>
        </is>
      </c>
      <c r="C17" s="11" t="inlineStr">
        <is>
          <t>ReCoMER ECE 0.046，优于 MHnoU/cRBEF</t>
        </is>
      </c>
      <c r="D17" s="11" t="inlineStr">
        <is>
          <t>并入图 A</t>
        </is>
      </c>
    </row>
    <row r="18" ht="30" customHeight="1">
      <c r="A18" s="16" t="inlineStr">
        <is>
          <t>必补</t>
        </is>
      </c>
      <c r="B18" s="10" t="inlineStr">
        <is>
          <t>同协议外部 SOTA 对比表</t>
        </is>
      </c>
      <c r="C18" s="11" t="inlineStr">
        <is>
          <t>性能叙事无任何外部锚点；DialogueRNN 51.66 只是 context 参照</t>
        </is>
      </c>
      <c r="D18" s="11" t="inlineStr">
        <is>
          <t>复现 2–3 个 M3ED 强基线，方案见「必补计划」</t>
        </is>
      </c>
    </row>
    <row r="19" ht="30" customHeight="1">
      <c r="A19" s="16" t="inlineStr">
        <is>
          <t>必补</t>
        </is>
      </c>
      <c r="B19" s="10" t="inlineStr">
        <is>
          <t>“完整系统 vs 最强专家”归因段落</t>
        </is>
      </c>
      <c r="C19" s="11" t="inlineStr">
        <is>
          <t>58.00 &lt; 58.60 需要机制层面解释，否则 4.2 叙事不闭环</t>
        </is>
      </c>
      <c r="D19" s="11" t="inlineStr">
        <is>
          <t>补写归因段：分支拖累/η 回退/有界容量，不需新实验</t>
        </is>
      </c>
    </row>
    <row r="20" ht="30" customHeight="1">
      <c r="A20" s="15" t="inlineStr">
        <is>
          <t>可砍</t>
        </is>
      </c>
      <c r="B20" s="10" t="inlineStr">
        <is>
          <t>首轮开发集数字（OUTER/valid 61.76 那批）</t>
        </is>
      </c>
      <c r="C20" s="11" t="inlineStr">
        <is>
          <t>已被正式测试取代；交接文档明令禁止与之矛盾的表述</t>
        </is>
      </c>
      <c r="D20" s="11" t="inlineStr">
        <is>
          <t>绝不进论文</t>
        </is>
      </c>
    </row>
    <row r="21" ht="30" customHeight="1">
      <c r="A21" s="15" t="inlineStr">
        <is>
          <t>可砍</t>
        </is>
      </c>
      <c r="B21" s="10" t="inlineStr">
        <is>
          <t>gate 六公式敏感性 + ordering controls</t>
        </is>
      </c>
      <c r="C21" s="11" t="inlineStr">
        <is>
          <t>全部 CI 跨 0，属探索性</t>
        </is>
      </c>
      <c r="D21" s="11" t="inlineStr">
        <is>
          <t>附录一句带过</t>
        </is>
      </c>
    </row>
    <row r="22" ht="30" customHeight="1">
      <c r="A22" s="15" t="inlineStr">
        <is>
          <t>可砍</t>
        </is>
      </c>
      <c r="B22" s="10" t="inlineStr">
        <is>
          <t>semantic/sparsemax 筛查 + jointsoft 臂</t>
        </is>
      </c>
      <c r="C22" s="11" t="inlineStr">
        <is>
          <t>单 seed 筛查信号 / 全面为负</t>
        </is>
      </c>
      <c r="D22" s="11" t="inlineStr">
        <is>
          <t>正文一句即可</t>
        </is>
      </c>
    </row>
    <row r="23" ht="30" customHeight="1">
      <c r="A23" s="15" t="inlineStr">
        <is>
          <t>可砍</t>
        </is>
      </c>
      <c r="B23" s="10" t="inlineStr">
        <is>
          <t>PCA 图、特征压力测试、mpath 臂</t>
        </is>
      </c>
      <c r="C23" s="11" t="inlineStr">
        <is>
          <t>诊断性/不显著；压力测试非标准鲁棒性基准</t>
        </is>
      </c>
      <c r="D23" s="11" t="inlineStr">
        <is>
          <t>附录或不报</t>
        </is>
      </c>
    </row>
    <row r="24" ht="30" customHeight="1">
      <c r="A24" s="17" t="inlineStr">
        <is>
          <t>放弃</t>
        </is>
      </c>
      <c r="B24" s="10" t="inlineStr">
        <is>
          <t>cRBEF 跨数据集专家（item 2 核心）</t>
        </is>
      </c>
      <c r="C24" s="11" t="inlineStr">
        <is>
          <t>需按原始 4096 维契约重做特征+训练，多日工程且谱系仍不清</t>
        </is>
      </c>
      <c r="D24" s="11" t="inlineStr">
        <is>
          <t>改叙事：M3ED 完整系统 + 其余数据集组件级证据</t>
        </is>
      </c>
    </row>
    <row r="25" ht="30" customHeight="1">
      <c r="A25" s="17" t="inlineStr">
        <is>
          <t>放弃</t>
        </is>
      </c>
      <c r="B25" s="10" t="inlineStr">
        <is>
          <t>弃权变体扩到 10 seeds</t>
        </is>
      </c>
      <c r="C25" s="11" t="inlineStr">
        <is>
          <t>E6≈E5、硬拒绝 0 触发，扩 seed 无新信息</t>
        </is>
      </c>
      <c r="D25" s="11" t="inlineStr">
        <is>
          <t>改做软门控归因分析</t>
        </is>
      </c>
    </row>
    <row r="26" ht="30" customHeight="1">
      <c r="A26" s="17" t="inlineStr">
        <is>
          <t>放弃</t>
        </is>
      </c>
      <c r="B26" s="10" t="inlineStr">
        <is>
          <t>CMU-MOSI / CH-SIMS_v2 扩展</t>
        </is>
      </c>
      <c r="C26" s="11" t="inlineStr">
        <is>
          <t>原计划即标 additional</t>
        </is>
      </c>
      <c r="D26" s="11" t="inlineStr">
        <is>
          <t>不做</t>
        </is>
      </c>
    </row>
    <row r="27" ht="30" customHeight="1">
      <c r="A27" s="17" t="inlineStr">
        <is>
          <t>放弃</t>
        </is>
      </c>
      <c r="B27" s="10" t="inlineStr">
        <is>
          <t>完整 OOF 证据链</t>
        </is>
      </c>
      <c r="C27" s="11" t="inlineStr">
        <is>
          <t>工程审计性质</t>
        </is>
      </c>
      <c r="D27" s="11" t="inlineStr">
        <is>
          <t>rebuttal 阶段补，不阻塞投稿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2" customWidth="1" min="3" max="3"/>
    <col width="18" customWidth="1" min="4" max="4"/>
  </cols>
  <sheetData>
    <row r="1">
      <c r="A1" s="12" t="inlineStr">
        <is>
          <t>仅剩的两项必补工作</t>
        </is>
      </c>
    </row>
    <row r="3" ht="22" customHeight="1">
      <c r="A3" s="13" t="inlineStr">
        <is>
          <t>工作</t>
        </is>
      </c>
      <c r="B3" s="13" t="inlineStr">
        <is>
          <t>为什么要补</t>
        </is>
      </c>
      <c r="C3" s="13" t="inlineStr">
        <is>
          <t>执行方案</t>
        </is>
      </c>
      <c r="D3" s="13" t="inlineStr">
        <is>
          <t>工作量估计</t>
        </is>
      </c>
    </row>
    <row r="4" ht="72" customHeight="1">
      <c r="A4" s="18" t="inlineStr">
        <is>
          <t>同协议外部 SOTA 对比表</t>
        </is>
      </c>
      <c r="B4" s="11" t="inlineStr">
        <is>
          <t>顶刊门槛：没有同协议外部基线，58.00 这个数字在审稿人眼里没有坐标；DialogueRNN 51.66 是不同特征/协议的 context 参照，不能当锚点</t>
        </is>
      </c>
      <c r="C4" s="11" t="inlineStr">
        <is>
          <t>收敛到 M3ED 上 2–3 个可复现强基线（HiRoC / DF-ERC 类）；用现有特征包复现，同一划分同一指标；服务器有 meld_sota_control 残件可借鉴；绝不把 valid 分数与文献 test 分数直接对比</t>
        </is>
      </c>
      <c r="D4" s="19" t="inlineStr">
        <is>
          <t>2–4 天（含调参与核对）</t>
        </is>
      </c>
    </row>
    <row r="5" ht="72" customHeight="1">
      <c r="A5" s="18" t="inlineStr">
        <is>
          <t>“完整系统 vs 最强专家”归因段落</t>
        </is>
      </c>
      <c r="B5" s="11" t="inlineStr">
        <is>
          <t>58.00 &lt; 58.60 若不解释，4.2 的方法动机（融合增益）与实验结果互相矛盾，审稿人必然追问</t>
        </is>
      </c>
      <c r="C5" s="11" t="inlineStr">
        <is>
          <t>归因三要素：① MHnoU 分支仅 45.43，拉低候选集质量；② η 校准在 1/3 种子退回等权；③ 有界修正（λ=0.3）容量受限。写成对融合边界条件的讨论段，不需新实验</t>
        </is>
      </c>
      <c r="D5" s="19" t="inlineStr">
        <is>
          <t>0.5 天（纯写作）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</cols>
  <sheetData>
    <row r="1">
      <c r="A1" s="12" t="inlineStr">
        <is>
          <t>四数据集 × 5 臂 × 10 seeds 完整矩阵（item 3，今日补齐）</t>
        </is>
      </c>
    </row>
    <row r="2">
      <c r="A2" s="2" t="inlineStr">
        <is>
          <t>valid-only · test_read=False 逐 run 断言 · 主指标：cls=weighted_f1 ↑，reg=MAE ↓；配对为 seed 级</t>
        </is>
      </c>
    </row>
    <row r="3" ht="22" customHeight="1">
      <c r="A3" s="13" t="inlineStr">
        <is>
          <t>数据集</t>
        </is>
      </c>
      <c r="B3" s="13" t="inlineStr">
        <is>
          <t>主指标</t>
        </is>
      </c>
      <c r="C3" s="13" t="inlineStr">
        <is>
          <t>B0 uniform_nohist</t>
        </is>
      </c>
      <c r="D3" s="13" t="inlineStr">
        <is>
          <t>uniform_history</t>
        </is>
      </c>
      <c r="E3" s="13" t="inlineStr">
        <is>
          <t>evidence_closed</t>
        </is>
      </c>
      <c r="F3" s="13" t="inlineStr">
        <is>
          <t>evidence_solo</t>
        </is>
      </c>
      <c r="G3" s="13" t="inlineStr">
        <is>
          <t>evidence_mpath</t>
        </is>
      </c>
      <c r="H3" s="13" t="inlineStr">
        <is>
          <t>evidence_solo vs B0（均值 [95% CI]，胜场，p）</t>
        </is>
      </c>
    </row>
    <row r="4" ht="30" customHeight="1">
      <c r="A4" s="10" t="inlineStr">
        <is>
          <t>M3ED_strong</t>
        </is>
      </c>
      <c r="B4" s="19" t="inlineStr">
        <is>
          <t>WF1 ↑</t>
        </is>
      </c>
      <c r="C4" s="20" t="n">
        <v>0.588</v>
      </c>
      <c r="D4" s="20" t="n">
        <v>0.5901</v>
      </c>
      <c r="E4" s="20" t="n">
        <v>0.5896</v>
      </c>
      <c r="F4" s="21" t="n">
        <v>0.603</v>
      </c>
      <c r="G4" s="20" t="n">
        <v>0.592</v>
      </c>
      <c r="H4" s="11" t="inlineStr">
        <is>
          <t>+1.50 pp [+0.91, +2.05]，10/10，p=0.002</t>
        </is>
      </c>
    </row>
    <row r="5" ht="30" customHeight="1">
      <c r="A5" s="10" t="inlineStr">
        <is>
          <t>MELD</t>
        </is>
      </c>
      <c r="B5" s="19" t="inlineStr">
        <is>
          <t>WF1 ↑</t>
        </is>
      </c>
      <c r="C5" s="20" t="n">
        <v>0.6347</v>
      </c>
      <c r="D5" s="20" t="n">
        <v>0.6334</v>
      </c>
      <c r="E5" s="20" t="n">
        <v>0.6338</v>
      </c>
      <c r="F5" s="21" t="n">
        <v>0.6409</v>
      </c>
      <c r="G5" s="20" t="n">
        <v>0.6345</v>
      </c>
      <c r="H5" s="11" t="inlineStr">
        <is>
          <t>+0.63 pp [−0.12, +1.21]，8/10，p=0.109；vs uniform_history +0.75 pp [+0.20, +1.34]，10/10，p=0.002</t>
        </is>
      </c>
    </row>
    <row r="6" ht="30" customHeight="1">
      <c r="A6" s="10" t="inlineStr">
        <is>
          <t>IEMOCAP</t>
        </is>
      </c>
      <c r="B6" s="19" t="inlineStr">
        <is>
          <t>WF1 ↑</t>
        </is>
      </c>
      <c r="C6" s="20" t="n">
        <v>0.6854</v>
      </c>
      <c r="D6" s="20" t="n">
        <v>0.6895</v>
      </c>
      <c r="E6" s="20" t="n">
        <v>0.6891</v>
      </c>
      <c r="F6" s="21" t="n">
        <v>0.6973</v>
      </c>
      <c r="G6" s="20" t="n">
        <v>0.6919999999999999</v>
      </c>
      <c r="H6" s="11" t="inlineStr">
        <is>
          <t>+1.20 pp，10/10，p=0.002</t>
        </is>
      </c>
    </row>
    <row r="7" ht="30" customHeight="1">
      <c r="A7" s="10" t="inlineStr">
        <is>
          <t>MOSEI_full</t>
        </is>
      </c>
      <c r="B7" s="19" t="inlineStr">
        <is>
          <t>MAE ↓</t>
        </is>
      </c>
      <c r="C7" s="20" t="n">
        <v>0.5108</v>
      </c>
      <c r="D7" s="20" t="n">
        <v>0.5091</v>
      </c>
      <c r="E7" s="20" t="n">
        <v>0.509</v>
      </c>
      <c r="F7" s="21" t="n">
        <v>0.5068</v>
      </c>
      <c r="G7" s="20" t="n">
        <v>0.5112</v>
      </c>
      <c r="H7" s="11" t="inlineStr">
        <is>
          <t>MAE 改善 0.0040，8/10，p=0.109</t>
        </is>
      </c>
    </row>
    <row r="9" ht="30" customHeight="1">
      <c r="A9" s="22" t="inlineStr">
        <is>
          <t>结论：evidence_solo（deploy=solo_weighted）是唯一一致显著的正增益臂；evidence_closed（论文当前 closed_loop 部署）四数据集均不显著。写进论文前与导师确认部署口径。</t>
        </is>
      </c>
    </row>
  </sheetData>
  <mergeCells count="1"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2026-10-06T04:01:51Z</dcterms:created>
  <dcterms:modified xmlns:dcterms="http://purl.org/dc/terms/" xmlns:xsi="http://www.w3.org/2001/XMLSchema-instance" xsi:type="dcterms:W3CDTF">2026-10-06T04:01:51Z</dcterms:modified>
</cp:coreProperties>
</file>